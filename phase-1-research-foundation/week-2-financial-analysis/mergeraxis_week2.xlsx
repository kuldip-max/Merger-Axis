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urya\Downloads\"/>
    </mc:Choice>
  </mc:AlternateContent>
  <xr:revisionPtr revIDLastSave="0" documentId="8_{D701F9EF-09F2-4277-ABF7-9F7CF9F0B91D}" xr6:coauthVersionLast="47" xr6:coauthVersionMax="47" xr10:uidLastSave="{00000000-0000-0000-0000-000000000000}"/>
  <bookViews>
    <workbookView xWindow="-108" yWindow="-108" windowWidth="23256" windowHeight="12456" xr2:uid="{90A87D38-06EF-45E4-9362-508CD86D4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1" l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D35" i="1"/>
  <c r="C35" i="1"/>
  <c r="B35" i="1"/>
  <c r="D34" i="1"/>
  <c r="C34" i="1"/>
  <c r="B34" i="1"/>
  <c r="D33" i="1"/>
  <c r="C33" i="1"/>
  <c r="B33" i="1"/>
  <c r="D32" i="1"/>
  <c r="C32" i="1"/>
  <c r="B32" i="1"/>
  <c r="D43" i="1"/>
  <c r="C43" i="1"/>
  <c r="B43" i="1"/>
  <c r="D44" i="1"/>
  <c r="D45" i="1" s="1"/>
  <c r="C44" i="1"/>
  <c r="B44" i="1"/>
  <c r="B45" i="1" l="1"/>
  <c r="C45" i="1"/>
</calcChain>
</file>

<file path=xl/sharedStrings.xml><?xml version="1.0" encoding="utf-8"?>
<sst xmlns="http://schemas.openxmlformats.org/spreadsheetml/2006/main" count="42" uniqueCount="42">
  <si>
    <t>FY23</t>
  </si>
  <si>
    <t>FY24</t>
  </si>
  <si>
    <t>FY25</t>
  </si>
  <si>
    <t>INCOME STATEMENT</t>
  </si>
  <si>
    <t>Revenue</t>
  </si>
  <si>
    <t>COGS</t>
  </si>
  <si>
    <t>EBITDA</t>
  </si>
  <si>
    <t>EBIT</t>
  </si>
  <si>
    <t>Interest</t>
  </si>
  <si>
    <t>PBT</t>
  </si>
  <si>
    <t>Tax</t>
  </si>
  <si>
    <t>PAT</t>
  </si>
  <si>
    <t>BALANCE SHEET</t>
  </si>
  <si>
    <t>Cash</t>
  </si>
  <si>
    <t>Receivables</t>
  </si>
  <si>
    <t>Inventory</t>
  </si>
  <si>
    <t>Current Assets</t>
  </si>
  <si>
    <t>Total Assets</t>
  </si>
  <si>
    <t>Payables</t>
  </si>
  <si>
    <t>Current Liabilities</t>
  </si>
  <si>
    <t>Debt</t>
  </si>
  <si>
    <t>Total Liabilities</t>
  </si>
  <si>
    <t>Equity</t>
  </si>
  <si>
    <t>CASH FLOW</t>
  </si>
  <si>
    <t>Operating Cash Flow</t>
  </si>
  <si>
    <t>Investing Cash Flow</t>
  </si>
  <si>
    <t>Financing Cash Flow</t>
  </si>
  <si>
    <t>RATIOS</t>
  </si>
  <si>
    <t>Current Ratio</t>
  </si>
  <si>
    <t>OCF Ratio</t>
  </si>
  <si>
    <t>Debt/Equity</t>
  </si>
  <si>
    <t>Interest Coverage</t>
  </si>
  <si>
    <t>ROE</t>
  </si>
  <si>
    <t>CCC</t>
  </si>
  <si>
    <t>BALANCE CHECK</t>
  </si>
  <si>
    <t>Assets</t>
  </si>
  <si>
    <t>Liabilities + Equity</t>
  </si>
  <si>
    <t>Difference</t>
  </si>
  <si>
    <t>Depreciation &amp; Amortisation</t>
  </si>
  <si>
    <t>DIO</t>
  </si>
  <si>
    <t>DSO</t>
  </si>
  <si>
    <t>DPO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</si>
</sst>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8FF9-61B9-4754-812E-D51FD4F99FBE}">
  <dimension ref="A1:D45"/>
  <sheetViews>
    <sheetView tabSelected="1" topLeftCell="A6" zoomScale="82" workbookViewId="0">
      <selection activeCell="C33" sqref="C33"/>
    </sheetView>
  </sheetViews>
  <sheetFormatPr defaultRowHeight="14.4" x14ac:dyDescent="0.3"/>
  <cols>
    <col min="1" max="1" width="39.21875" customWidth="1"/>
    <col min="2" max="4" width="10.44140625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t="s">
        <v>3</v>
      </c>
    </row>
    <row r="3" spans="1:4" x14ac:dyDescent="0.3">
      <c r="A3" t="s">
        <v>4</v>
      </c>
      <c r="B3">
        <v>438856.8</v>
      </c>
      <c r="C3" s="1">
        <v>484968.5</v>
      </c>
      <c r="D3" s="2">
        <v>525784.4</v>
      </c>
    </row>
    <row r="4" spans="1:4" x14ac:dyDescent="0.3">
      <c r="A4" t="s">
        <v>5</v>
      </c>
      <c r="B4">
        <v>106621.6</v>
      </c>
      <c r="C4">
        <v>106626.1</v>
      </c>
      <c r="D4" s="3">
        <v>107473.60000000001</v>
      </c>
    </row>
    <row r="5" spans="1:4" x14ac:dyDescent="0.3">
      <c r="A5" t="s">
        <v>6</v>
      </c>
      <c r="B5">
        <v>123074.1</v>
      </c>
      <c r="C5" s="1">
        <v>138830</v>
      </c>
      <c r="D5" s="1">
        <v>165588.79999999999</v>
      </c>
    </row>
    <row r="6" spans="1:4" x14ac:dyDescent="0.3">
      <c r="A6" t="s">
        <v>38</v>
      </c>
      <c r="B6" s="1">
        <v>25294.3</v>
      </c>
      <c r="C6">
        <v>25566.400000000001</v>
      </c>
      <c r="D6">
        <v>25753.9</v>
      </c>
    </row>
    <row r="7" spans="1:4" x14ac:dyDescent="0.3">
      <c r="A7" t="s">
        <v>7</v>
      </c>
      <c r="B7" s="1">
        <v>97779.8</v>
      </c>
      <c r="C7" s="1">
        <v>113263.6</v>
      </c>
      <c r="D7" s="2">
        <v>139834.9</v>
      </c>
    </row>
    <row r="8" spans="1:4" x14ac:dyDescent="0.3">
      <c r="A8" t="s">
        <v>8</v>
      </c>
      <c r="B8" s="2">
        <v>1720</v>
      </c>
      <c r="C8" s="1">
        <v>2384.6999999999998</v>
      </c>
      <c r="D8" s="1">
        <v>2313.6</v>
      </c>
    </row>
    <row r="9" spans="1:4" x14ac:dyDescent="0.3">
      <c r="A9" t="s">
        <v>9</v>
      </c>
      <c r="B9" s="1">
        <v>94084.3</v>
      </c>
      <c r="C9" s="1">
        <v>110878.9</v>
      </c>
      <c r="D9" s="1">
        <v>137521.29999999999</v>
      </c>
    </row>
    <row r="10" spans="1:4" x14ac:dyDescent="0.3">
      <c r="A10" t="s">
        <v>10</v>
      </c>
      <c r="B10" s="1">
        <v>8475.9</v>
      </c>
      <c r="C10" s="1">
        <v>14394.5</v>
      </c>
      <c r="D10" s="1">
        <v>27720.3</v>
      </c>
    </row>
    <row r="11" spans="1:4" x14ac:dyDescent="0.3">
      <c r="A11" t="s">
        <v>11</v>
      </c>
      <c r="B11" s="1">
        <v>84735.8</v>
      </c>
      <c r="C11" s="1">
        <v>95763.8</v>
      </c>
      <c r="D11" s="1">
        <v>109290.4</v>
      </c>
    </row>
    <row r="13" spans="1:4" x14ac:dyDescent="0.3">
      <c r="A13" t="s">
        <v>12</v>
      </c>
    </row>
    <row r="14" spans="1:4" x14ac:dyDescent="0.3">
      <c r="A14" t="s">
        <v>13</v>
      </c>
      <c r="B14">
        <v>46237.3</v>
      </c>
      <c r="C14" s="1">
        <v>92856.5</v>
      </c>
      <c r="D14">
        <v>102687.7</v>
      </c>
    </row>
    <row r="15" spans="1:4" x14ac:dyDescent="0.3">
      <c r="A15" t="s">
        <v>14</v>
      </c>
      <c r="B15" s="1">
        <v>114385.1</v>
      </c>
      <c r="C15" s="1">
        <v>112493.7</v>
      </c>
      <c r="D15">
        <v>130461.1</v>
      </c>
    </row>
    <row r="16" spans="1:4" x14ac:dyDescent="0.3">
      <c r="A16" t="s">
        <v>15</v>
      </c>
      <c r="B16">
        <v>105130.5</v>
      </c>
      <c r="C16">
        <v>98682.9</v>
      </c>
      <c r="D16">
        <v>102433.3</v>
      </c>
    </row>
    <row r="17" spans="1:4" x14ac:dyDescent="0.3">
      <c r="A17" t="s">
        <v>16</v>
      </c>
      <c r="B17">
        <v>398619.4</v>
      </c>
      <c r="C17">
        <v>434331.1</v>
      </c>
      <c r="D17">
        <v>525940.6</v>
      </c>
    </row>
    <row r="18" spans="1:4" x14ac:dyDescent="0.3">
      <c r="A18" t="s">
        <v>17</v>
      </c>
      <c r="B18">
        <v>807435.9</v>
      </c>
      <c r="C18">
        <v>854628.8</v>
      </c>
      <c r="D18">
        <v>921005.8</v>
      </c>
    </row>
    <row r="20" spans="1:4" x14ac:dyDescent="0.3">
      <c r="A20" t="s">
        <v>18</v>
      </c>
      <c r="B20">
        <v>56815.199999999997</v>
      </c>
      <c r="C20">
        <v>56533</v>
      </c>
      <c r="D20">
        <v>61843.4</v>
      </c>
    </row>
    <row r="21" spans="1:4" x14ac:dyDescent="0.3">
      <c r="A21" t="s">
        <v>19</v>
      </c>
      <c r="B21">
        <v>199063.8</v>
      </c>
      <c r="C21">
        <v>169837.7</v>
      </c>
      <c r="D21">
        <v>181942.1</v>
      </c>
    </row>
    <row r="22" spans="1:4" x14ac:dyDescent="0.3">
      <c r="A22" t="s">
        <v>20</v>
      </c>
      <c r="B22">
        <v>61978.8</v>
      </c>
      <c r="C22">
        <v>28443.599999999999</v>
      </c>
      <c r="D22">
        <v>18671.099999999999</v>
      </c>
    </row>
    <row r="23" spans="1:4" x14ac:dyDescent="0.3">
      <c r="A23" t="s">
        <v>21</v>
      </c>
      <c r="B23">
        <v>214281.2</v>
      </c>
      <c r="C23">
        <v>183569.1</v>
      </c>
      <c r="D23">
        <v>196146.3</v>
      </c>
    </row>
    <row r="24" spans="1:4" x14ac:dyDescent="0.3">
      <c r="A24" t="s">
        <v>22</v>
      </c>
      <c r="B24">
        <v>593154.69999999995</v>
      </c>
      <c r="C24">
        <v>671059.69999999995</v>
      </c>
      <c r="D24">
        <v>724859.5</v>
      </c>
    </row>
    <row r="26" spans="1:4" x14ac:dyDescent="0.3">
      <c r="A26" t="s">
        <v>23</v>
      </c>
    </row>
    <row r="27" spans="1:4" x14ac:dyDescent="0.3">
      <c r="A27" t="s">
        <v>24</v>
      </c>
      <c r="B27">
        <v>49593.3</v>
      </c>
      <c r="C27">
        <v>121349.8</v>
      </c>
      <c r="D27">
        <v>140720.9</v>
      </c>
    </row>
    <row r="28" spans="1:4" x14ac:dyDescent="0.3">
      <c r="A28" t="s">
        <v>25</v>
      </c>
      <c r="B28">
        <v>-79436.800000000003</v>
      </c>
      <c r="C28">
        <v>-6902</v>
      </c>
      <c r="D28">
        <v>-53061.599999999999</v>
      </c>
    </row>
    <row r="29" spans="1:4" x14ac:dyDescent="0.3">
      <c r="A29" t="s">
        <v>26</v>
      </c>
      <c r="B29">
        <v>23760.7</v>
      </c>
      <c r="C29">
        <v>-67101.600000000006</v>
      </c>
      <c r="D29">
        <v>-79058.2</v>
      </c>
    </row>
    <row r="31" spans="1:4" x14ac:dyDescent="0.3">
      <c r="A31" t="s">
        <v>27</v>
      </c>
    </row>
    <row r="32" spans="1:4" x14ac:dyDescent="0.3">
      <c r="A32" t="s">
        <v>28</v>
      </c>
      <c r="B32">
        <f>B17/B21</f>
        <v>2.0024705647134238</v>
      </c>
      <c r="C32">
        <f>C17/C21</f>
        <v>2.5573303218307828</v>
      </c>
      <c r="D32">
        <f>D17/D21</f>
        <v>2.8907031412740642</v>
      </c>
    </row>
    <row r="33" spans="1:4" x14ac:dyDescent="0.3">
      <c r="A33" t="s">
        <v>29</v>
      </c>
      <c r="B33">
        <f>B27/B21</f>
        <v>0.24913269012246328</v>
      </c>
      <c r="C33">
        <f>C27/C21</f>
        <v>0.71450449458512444</v>
      </c>
      <c r="D33">
        <f>D27/D21</f>
        <v>0.77343781345823748</v>
      </c>
    </row>
    <row r="34" spans="1:4" x14ac:dyDescent="0.3">
      <c r="A34" t="s">
        <v>30</v>
      </c>
      <c r="B34">
        <f>B22/B24</f>
        <v>0.10449011025285648</v>
      </c>
      <c r="C34">
        <f>C22/C24</f>
        <v>4.2386094709606317E-2</v>
      </c>
      <c r="D34">
        <f>D22/D24</f>
        <v>2.5758233147251293E-2</v>
      </c>
    </row>
    <row r="35" spans="1:4" x14ac:dyDescent="0.3">
      <c r="A35" t="s">
        <v>31</v>
      </c>
      <c r="B35">
        <f>B7/B8</f>
        <v>56.84872093023256</v>
      </c>
      <c r="C35">
        <f>C7/C8</f>
        <v>47.495953369396574</v>
      </c>
      <c r="D35">
        <f>D7/D8</f>
        <v>60.440395919778702</v>
      </c>
    </row>
    <row r="36" spans="1:4" x14ac:dyDescent="0.3">
      <c r="A36" t="s">
        <v>32</v>
      </c>
      <c r="B36">
        <f>B11/B24</f>
        <v>0.14285615540094349</v>
      </c>
      <c r="C36">
        <f>C11/AVERAGE(B24,C24)</f>
        <v>0.15149930264993028</v>
      </c>
      <c r="D36">
        <f>D11/AVERAGE(C24,D24)</f>
        <v>0.15658556741679605</v>
      </c>
    </row>
    <row r="37" spans="1:4" x14ac:dyDescent="0.3">
      <c r="A37" t="s">
        <v>39</v>
      </c>
      <c r="B37">
        <f>B16/B4*365</f>
        <v>359.89548553013645</v>
      </c>
      <c r="C37">
        <f>C16/C4*365</f>
        <v>337.80902143096296</v>
      </c>
      <c r="D37">
        <f>D16/D4*365</f>
        <v>347.88221944738058</v>
      </c>
    </row>
    <row r="38" spans="1:4" x14ac:dyDescent="0.3">
      <c r="A38" t="s">
        <v>40</v>
      </c>
      <c r="B38">
        <f>B15/B3*365</f>
        <v>95.134817325378123</v>
      </c>
      <c r="C38">
        <f>C15/C3*365</f>
        <v>84.665706123181195</v>
      </c>
      <c r="D38">
        <f>D15/D3*365</f>
        <v>90.56621212040524</v>
      </c>
    </row>
    <row r="39" spans="1:4" x14ac:dyDescent="0.3">
      <c r="A39" t="s">
        <v>41</v>
      </c>
      <c r="B39">
        <f>B20/B4*365</f>
        <v>194.49668735040555</v>
      </c>
      <c r="C39">
        <f>C20/C4*365</f>
        <v>193.52245838495452</v>
      </c>
      <c r="D39">
        <f>D20/D4*365</f>
        <v>210.03149610695093</v>
      </c>
    </row>
    <row r="40" spans="1:4" x14ac:dyDescent="0.3">
      <c r="A40" t="s">
        <v>33</v>
      </c>
      <c r="B40">
        <f>B37+B38-B39</f>
        <v>260.53361550510908</v>
      </c>
      <c r="C40">
        <f>C37+C38-C39</f>
        <v>228.95226916918961</v>
      </c>
      <c r="D40">
        <f>D37+D38-D39</f>
        <v>228.41693546083488</v>
      </c>
    </row>
    <row r="42" spans="1:4" x14ac:dyDescent="0.3">
      <c r="A42" t="s">
        <v>34</v>
      </c>
    </row>
    <row r="43" spans="1:4" x14ac:dyDescent="0.3">
      <c r="A43" t="s">
        <v>35</v>
      </c>
      <c r="B43">
        <f>B18</f>
        <v>807435.9</v>
      </c>
      <c r="C43">
        <f>C18</f>
        <v>854628.8</v>
      </c>
      <c r="D43">
        <f>D18</f>
        <v>921005.8</v>
      </c>
    </row>
    <row r="44" spans="1:4" x14ac:dyDescent="0.3">
      <c r="A44" t="s">
        <v>36</v>
      </c>
      <c r="B44">
        <f>B23+B24</f>
        <v>807435.89999999991</v>
      </c>
      <c r="C44">
        <f>C23+C24</f>
        <v>854628.79999999993</v>
      </c>
      <c r="D44">
        <f>D23+D24</f>
        <v>921005.8</v>
      </c>
    </row>
    <row r="45" spans="1:4" x14ac:dyDescent="0.3">
      <c r="A45" t="s">
        <v>37</v>
      </c>
      <c r="B45">
        <f>B44-B43</f>
        <v>0</v>
      </c>
      <c r="C45">
        <f>C44-C43</f>
        <v>0</v>
      </c>
      <c r="D45">
        <f>D44-D43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 irniraya</dc:creator>
  <cp:lastModifiedBy>shaurya irniraya</cp:lastModifiedBy>
  <dcterms:created xsi:type="dcterms:W3CDTF">2026-06-13T10:39:54Z</dcterms:created>
  <dcterms:modified xsi:type="dcterms:W3CDTF">2026-06-14T12:06:11Z</dcterms:modified>
</cp:coreProperties>
</file>